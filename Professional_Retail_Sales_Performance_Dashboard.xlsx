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tail Sales Data" sheetId="2" state="visible" r:id="rId4"/>
    <sheet name="Dashboard Calc" sheetId="3" state="hidden" r:id="rId5"/>
    <sheet name="Lists" sheetId="4" state="hidden" r:id="rId6"/>
  </sheets>
  <definedNames>
    <definedName function="false" hidden="false" localSheetId="0" name="_xlnm.Print_Area" vbProcedure="false">Dashboard!$B$2:$N$66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<sst xmlns="http://schemas.openxmlformats.org/spreadsheetml/2006/main" count="269" uniqueCount="97">
  <si>
    <t xml:space="preserve">RETAIL SALES PERFORMANCE</t>
  </si>
  <si>
    <t xml:space="preserve">Executive dashboard | Revenue, volume, customer experience and sales-team performance</t>
  </si>
  <si>
    <t xml:space="preserve">FILTERS</t>
  </si>
  <si>
    <t xml:space="preserve">Date From</t>
  </si>
  <si>
    <t xml:space="preserve">Date To</t>
  </si>
  <si>
    <t xml:space="preserve">Product</t>
  </si>
  <si>
    <t xml:space="preserve">Category</t>
  </si>
  <si>
    <t xml:space="preserve">Region</t>
  </si>
  <si>
    <t xml:space="preserve">Salesperson</t>
  </si>
  <si>
    <t xml:space="preserve">All</t>
  </si>
  <si>
    <t xml:space="preserve">TOTAL REVENUE</t>
  </si>
  <si>
    <t xml:space="preserve">TOTAL ORDERS</t>
  </si>
  <si>
    <t xml:space="preserve">TOTAL QUANTITY</t>
  </si>
  <si>
    <t xml:space="preserve">AVERAGE ORDER VALUE</t>
  </si>
  <si>
    <t xml:space="preserve">Avg. Customer Rating</t>
  </si>
  <si>
    <t xml:space="preserve">Top Product</t>
  </si>
  <si>
    <t xml:space="preserve">Top Region</t>
  </si>
  <si>
    <t xml:space="preserve">Top Salesperson</t>
  </si>
  <si>
    <t xml:space="preserve">SALES TREND</t>
  </si>
  <si>
    <t xml:space="preserve">PRODUCT MIX</t>
  </si>
  <si>
    <t xml:space="preserve">CATEGORY PERFORMANCE</t>
  </si>
  <si>
    <t xml:space="preserve">REGIONAL PERFORMANCE</t>
  </si>
  <si>
    <t xml:space="preserve">SALES TEAM</t>
  </si>
  <si>
    <t xml:space="preserve">CUSTOMER EXPERIENCE</t>
  </si>
  <si>
    <t xml:space="preserve">Data note: Revenue = Quantity × Unit Price. The dataset contains no cost/expense fields, so profit and margin metrics are intentionally excluded.</t>
  </si>
  <si>
    <t xml:space="preserve">Order_ID</t>
  </si>
  <si>
    <t xml:space="preserve">Date</t>
  </si>
  <si>
    <t xml:space="preserve">Quantity</t>
  </si>
  <si>
    <t xml:space="preserve">Unit_Price</t>
  </si>
  <si>
    <t xml:space="preserve">Sales_Amount</t>
  </si>
  <si>
    <t xml:space="preserve">Customer_Rating</t>
  </si>
  <si>
    <t xml:space="preserve">Month</t>
  </si>
  <si>
    <t xml:space="preserve">Month_Sort</t>
  </si>
  <si>
    <t xml:space="preserve">ORD001</t>
  </si>
  <si>
    <t xml:space="preserve">Laptop</t>
  </si>
  <si>
    <t xml:space="preserve">Electronics</t>
  </si>
  <si>
    <t xml:space="preserve">South</t>
  </si>
  <si>
    <t xml:space="preserve">Ade</t>
  </si>
  <si>
    <t xml:space="preserve">ORD002</t>
  </si>
  <si>
    <t xml:space="preserve">Mouse</t>
  </si>
  <si>
    <t xml:space="preserve">Accessories</t>
  </si>
  <si>
    <t xml:space="preserve">West</t>
  </si>
  <si>
    <t xml:space="preserve">Bola</t>
  </si>
  <si>
    <t xml:space="preserve">ORD003</t>
  </si>
  <si>
    <t xml:space="preserve">Keyboard</t>
  </si>
  <si>
    <t xml:space="preserve">North</t>
  </si>
  <si>
    <t xml:space="preserve">Chidi</t>
  </si>
  <si>
    <t xml:space="preserve">ORD004</t>
  </si>
  <si>
    <t xml:space="preserve">Monitor</t>
  </si>
  <si>
    <t xml:space="preserve">East</t>
  </si>
  <si>
    <t xml:space="preserve">Amina</t>
  </si>
  <si>
    <t xml:space="preserve">ORD005</t>
  </si>
  <si>
    <t xml:space="preserve">Phone</t>
  </si>
  <si>
    <t xml:space="preserve">Tunde</t>
  </si>
  <si>
    <t xml:space="preserve">ORD006</t>
  </si>
  <si>
    <t xml:space="preserve">Headset</t>
  </si>
  <si>
    <t xml:space="preserve">ORD007</t>
  </si>
  <si>
    <t xml:space="preserve">Printer</t>
  </si>
  <si>
    <t xml:space="preserve">Office Equipment</t>
  </si>
  <si>
    <t xml:space="preserve">ORD008</t>
  </si>
  <si>
    <t xml:space="preserve">Tablet</t>
  </si>
  <si>
    <t xml:space="preserve">ORD009</t>
  </si>
  <si>
    <t xml:space="preserve">ORD010</t>
  </si>
  <si>
    <t xml:space="preserve">ORD011</t>
  </si>
  <si>
    <t xml:space="preserve">ORD012</t>
  </si>
  <si>
    <t xml:space="preserve">ORD013</t>
  </si>
  <si>
    <t xml:space="preserve">ORD014</t>
  </si>
  <si>
    <t xml:space="preserve">ORD015</t>
  </si>
  <si>
    <t xml:space="preserve">ORD016</t>
  </si>
  <si>
    <t xml:space="preserve">ORD017</t>
  </si>
  <si>
    <t xml:space="preserve">ORD018</t>
  </si>
  <si>
    <t xml:space="preserve">ORD019</t>
  </si>
  <si>
    <t xml:space="preserve">ORD020</t>
  </si>
  <si>
    <t xml:space="preserve">ORD021</t>
  </si>
  <si>
    <t xml:space="preserve">ORD022</t>
  </si>
  <si>
    <t xml:space="preserve">ORD023</t>
  </si>
  <si>
    <t xml:space="preserve">ORD024</t>
  </si>
  <si>
    <t xml:space="preserve">ORD025</t>
  </si>
  <si>
    <t xml:space="preserve">ORD026</t>
  </si>
  <si>
    <t xml:space="preserve">ORD027</t>
  </si>
  <si>
    <t xml:space="preserve">ORD028</t>
  </si>
  <si>
    <t xml:space="preserve">ORD029</t>
  </si>
  <si>
    <t xml:space="preserve">ORD030</t>
  </si>
  <si>
    <t xml:space="preserve">Metric</t>
  </si>
  <si>
    <t xml:space="preserve">Value</t>
  </si>
  <si>
    <t xml:space="preserve">Sales</t>
  </si>
  <si>
    <t xml:space="preserve">Rating</t>
  </si>
  <si>
    <t xml:space="preserve">Total Revenue</t>
  </si>
  <si>
    <t xml:space="preserve">Total Orders</t>
  </si>
  <si>
    <t xml:space="preserve">Total Quantity</t>
  </si>
  <si>
    <t xml:space="preserve">Average Order Value</t>
  </si>
  <si>
    <t xml:space="preserve">Average Customer Rating</t>
  </si>
  <si>
    <t xml:space="preserve">Products</t>
  </si>
  <si>
    <t xml:space="preserve">Categories</t>
  </si>
  <si>
    <t xml:space="preserve">Regions</t>
  </si>
  <si>
    <t xml:space="preserve">Salespeople</t>
  </si>
  <si>
    <t xml:space="preserve">Dates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</si>
</sst>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\-mmm\-yyyy"/>
    <numFmt numFmtId="166" formatCode="\₦#,##0.0,,\M"/>
    <numFmt numFmtId="167" formatCode="0"/>
    <numFmt numFmtId="168" formatCode="\₦#,##0.0,,\K"/>
    <numFmt numFmtId="169" formatCode="0.0&quot; / 5&quot;"/>
    <numFmt numFmtId="170" formatCode="@"/>
    <numFmt numFmtId="171" formatCode="\₦#,##0"/>
    <numFmt numFmtId="172" formatCode="0.0"/>
    <numFmt numFmtId="173" formatCode="#,##0"/>
    <numFmt numFmtId="174" formatCode="mmm\ yyyy"/>
    <numFmt numFmtId="175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mbria"/>
      <family val="0"/>
      <charset val="1"/>
    </font>
    <font>
      <i val="true"/>
      <sz val="10"/>
      <color rgb="FF6B72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6B7280"/>
      <name val="Cambria"/>
      <family val="0"/>
      <charset val="1"/>
    </font>
    <font>
      <b val="true"/>
      <sz val="10"/>
      <color rgb="FF1F2937"/>
      <name val="Cambria"/>
      <family val="0"/>
      <charset val="1"/>
    </font>
    <font>
      <b val="true"/>
      <sz val="21"/>
      <color rgb="FF16324F"/>
      <name val="Cambria"/>
      <family val="0"/>
      <charset val="1"/>
    </font>
    <font>
      <b val="true"/>
      <sz val="8"/>
      <color rgb="FF6B7280"/>
      <name val="Cambria"/>
      <family val="0"/>
      <charset val="1"/>
    </font>
    <font>
      <b val="true"/>
      <sz val="12"/>
      <color rgb="FF1F2937"/>
      <name val="Cambria"/>
      <family val="0"/>
      <charset val="1"/>
    </font>
    <font>
      <i val="true"/>
      <sz val="9"/>
      <color rgb="FF6B728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24F"/>
        <bgColor rgb="FF1F2937"/>
      </patternFill>
    </fill>
    <fill>
      <patternFill patternType="solid">
        <fgColor rgb="FFFFFFFF"/>
        <bgColor rgb="FFF9F9F9"/>
      </patternFill>
    </fill>
    <fill>
      <patternFill patternType="solid">
        <fgColor rgb="FFEAF3FA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 diagonalUp="false" diagonalDown="false">
      <left style="thin">
        <color rgb="FFD9E1E8"/>
      </left>
      <right/>
      <top style="thin">
        <color rgb="FFD9E1E8"/>
      </top>
      <bottom style="thin">
        <color rgb="FFD9E1E8"/>
      </bottom>
      <diagonal/>
    </border>
    <border diagonalUp="false" diagonalDown="false">
      <left/>
      <right/>
      <top/>
      <bottom style="hair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32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A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9E1E8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6B7280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'Dashboard Calc'!N1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Calc'!$M$2:$M$4</c:f>
              <c:strCache>
                <c:ptCount val="3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</c:strCache>
            </c:strRef>
          </c:cat>
          <c:val>
            <c:numRef>
              <c:f>'Dashboard Calc'!$N$2:$N$4</c:f>
              <c:numCache>
                <c:formatCode>General</c:formatCode>
                <c:ptCount val="3"/>
                <c:pt idx="0">
                  <c:v>3866000</c:v>
                </c:pt>
                <c:pt idx="1">
                  <c:v>4670000</c:v>
                </c:pt>
                <c:pt idx="2">
                  <c:v>3722000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468359"/>
        <c:axId val="55611177"/>
      </c:lineChart>
      <c:catAx>
        <c:axId val="49468359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611177"/>
        <c:crosses val="autoZero"/>
        <c:auto val="1"/>
        <c:lblAlgn val="ctr"/>
        <c:lblOffset val="100"/>
        <c:noMultiLvlLbl val="0"/>
      </c:catAx>
      <c:valAx>
        <c:axId val="55611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68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'Dashboard Calc'!E1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Calc'!$D$2:$D$9</c:f>
              <c:strCache>
                <c:ptCount val="8"/>
                <c:pt idx="0">
                  <c:v>Headset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Phone</c:v>
                </c:pt>
                <c:pt idx="6">
                  <c:v>Printer</c:v>
                </c:pt>
                <c:pt idx="7">
                  <c:v>Tablet</c:v>
                </c:pt>
              </c:strCache>
            </c:strRef>
          </c:cat>
          <c:val>
            <c:numRef>
              <c:f>'Dashboard Calc'!$E$2:$E$9</c:f>
              <c:numCache>
                <c:formatCode>General</c:formatCode>
                <c:ptCount val="8"/>
                <c:pt idx="0">
                  <c:v>460000</c:v>
                </c:pt>
                <c:pt idx="1">
                  <c:v>345000</c:v>
                </c:pt>
                <c:pt idx="2">
                  <c:v>2700000</c:v>
                </c:pt>
                <c:pt idx="3">
                  <c:v>1680000</c:v>
                </c:pt>
                <c:pt idx="4">
                  <c:v>368000</c:v>
                </c:pt>
                <c:pt idx="5">
                  <c:v>3500000</c:v>
                </c:pt>
                <c:pt idx="6">
                  <c:v>1045000</c:v>
                </c:pt>
                <c:pt idx="7">
                  <c:v>2160000</c:v>
                </c:pt>
              </c:numCache>
            </c:numRef>
          </c:val>
        </c:ser>
        <c:gapWidth val="150"/>
        <c:overlap val="0"/>
        <c:axId val="2296210"/>
        <c:axId val="63962323"/>
      </c:barChart>
      <c:catAx>
        <c:axId val="22962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962323"/>
        <c:crosses val="autoZero"/>
        <c:auto val="1"/>
        <c:lblAlgn val="ctr"/>
        <c:lblOffset val="100"/>
        <c:noMultiLvlLbl val="0"/>
      </c:catAx>
      <c:valAx>
        <c:axId val="63962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6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Calc'!Q1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Calc'!$P$2:$P$4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 Equipment</c:v>
                </c:pt>
              </c:strCache>
            </c:strRef>
          </c:cat>
          <c:val>
            <c:numRef>
              <c:f>'Dashboard Calc'!$Q$2:$Q$4</c:f>
              <c:numCache>
                <c:formatCode>General</c:formatCode>
                <c:ptCount val="3"/>
                <c:pt idx="0">
                  <c:v>1173000</c:v>
                </c:pt>
                <c:pt idx="1">
                  <c:v>10040000</c:v>
                </c:pt>
                <c:pt idx="2">
                  <c:v>1045000</c:v>
                </c:pt>
              </c:numCache>
            </c:numRef>
          </c:val>
        </c:ser>
        <c:gapWidth val="150"/>
        <c:overlap val="0"/>
        <c:axId val="86838702"/>
        <c:axId val="43222731"/>
      </c:barChart>
      <c:catAx>
        <c:axId val="86838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222731"/>
        <c:crosses val="autoZero"/>
        <c:auto val="1"/>
        <c:lblAlgn val="ctr"/>
        <c:lblOffset val="100"/>
        <c:noMultiLvlLbl val="0"/>
      </c:catAx>
      <c:valAx>
        <c:axId val="43222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38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Calc'!H1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Calc'!$G$2:$G$5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 Calc'!$H$2:$H$5</c:f>
              <c:numCache>
                <c:formatCode>General</c:formatCode>
                <c:ptCount val="4"/>
                <c:pt idx="0">
                  <c:v>2127000</c:v>
                </c:pt>
                <c:pt idx="1">
                  <c:v>2400000</c:v>
                </c:pt>
                <c:pt idx="2">
                  <c:v>4936000</c:v>
                </c:pt>
                <c:pt idx="3">
                  <c:v>2795000</c:v>
                </c:pt>
              </c:numCache>
            </c:numRef>
          </c:val>
        </c:ser>
        <c:gapWidth val="150"/>
        <c:overlap val="0"/>
        <c:axId val="16651159"/>
        <c:axId val="31586958"/>
      </c:barChart>
      <c:catAx>
        <c:axId val="1665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586958"/>
        <c:crosses val="autoZero"/>
        <c:auto val="1"/>
        <c:lblAlgn val="ctr"/>
        <c:lblOffset val="100"/>
        <c:noMultiLvlLbl val="0"/>
      </c:catAx>
      <c:valAx>
        <c:axId val="31586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51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Salesperson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Calc'!K1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Calc'!$J$2:$J$6</c:f>
              <c:strCache>
                <c:ptCount val="5"/>
                <c:pt idx="0">
                  <c:v>Ade</c:v>
                </c:pt>
                <c:pt idx="1">
                  <c:v>Amina</c:v>
                </c:pt>
                <c:pt idx="2">
                  <c:v>Bola</c:v>
                </c:pt>
                <c:pt idx="3">
                  <c:v>Chidi</c:v>
                </c:pt>
                <c:pt idx="4">
                  <c:v>Tunde</c:v>
                </c:pt>
              </c:strCache>
            </c:strRef>
          </c:cat>
          <c:val>
            <c:numRef>
              <c:f>'Dashboard Calc'!$K$2:$K$6</c:f>
              <c:numCache>
                <c:formatCode>General</c:formatCode>
                <c:ptCount val="5"/>
                <c:pt idx="0">
                  <c:v>2500000</c:v>
                </c:pt>
                <c:pt idx="1">
                  <c:v>1291000</c:v>
                </c:pt>
                <c:pt idx="2">
                  <c:v>2125000</c:v>
                </c:pt>
                <c:pt idx="3">
                  <c:v>2612000</c:v>
                </c:pt>
                <c:pt idx="4">
                  <c:v>3730000</c:v>
                </c:pt>
              </c:numCache>
            </c:numRef>
          </c:val>
        </c:ser>
        <c:gapWidth val="150"/>
        <c:overlap val="0"/>
        <c:axId val="33380822"/>
        <c:axId val="78917338"/>
      </c:barChart>
      <c:catAx>
        <c:axId val="333808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917338"/>
        <c:crosses val="autoZero"/>
        <c:auto val="1"/>
        <c:lblAlgn val="ctr"/>
        <c:lblOffset val="100"/>
        <c:noMultiLvlLbl val="0"/>
      </c:catAx>
      <c:valAx>
        <c:axId val="78917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3808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Customer Rating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'Dashboard Calc'!T1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Calc'!$S$2:$S$9</c:f>
              <c:strCache>
                <c:ptCount val="8"/>
                <c:pt idx="0">
                  <c:v>Headset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Phone</c:v>
                </c:pt>
                <c:pt idx="6">
                  <c:v>Printer</c:v>
                </c:pt>
                <c:pt idx="7">
                  <c:v>Tablet</c:v>
                </c:pt>
              </c:strCache>
            </c:strRef>
          </c:cat>
          <c:val>
            <c:numRef>
              <c:f>'Dashboard Calc'!$T$2:$T$9</c:f>
              <c:numCache>
                <c:formatCode>General</c:formatCode>
                <c:ptCount val="8"/>
                <c:pt idx="0">
                  <c:v>4</c:v>
                </c:pt>
                <c:pt idx="1">
                  <c:v>3.66666666666667</c:v>
                </c:pt>
                <c:pt idx="2">
                  <c:v>5</c:v>
                </c:pt>
                <c:pt idx="3">
                  <c:v>4</c:v>
                </c:pt>
                <c:pt idx="4">
                  <c:v>3.75</c:v>
                </c:pt>
                <c:pt idx="5">
                  <c:v>5</c:v>
                </c:pt>
                <c:pt idx="6">
                  <c:v>4.25</c:v>
                </c:pt>
                <c:pt idx="7">
                  <c:v>4.5</c:v>
                </c:pt>
              </c:numCache>
            </c:numRef>
          </c:val>
        </c:ser>
        <c:gapWidth val="150"/>
        <c:overlap val="0"/>
        <c:axId val="91459868"/>
        <c:axId val="95222865"/>
      </c:barChart>
      <c:catAx>
        <c:axId val="9145986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222865"/>
        <c:crosses val="autoZero"/>
        <c:auto val="1"/>
        <c:lblAlgn val="ctr"/>
        <c:lblOffset val="100"/>
        <c:noMultiLvlLbl val="0"/>
      </c:catAx>
      <c:valAx>
        <c:axId val="95222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4598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6</xdr:col>
      <xdr:colOff>953280</xdr:colOff>
      <xdr:row>26</xdr:row>
      <xdr:rowOff>191160</xdr:rowOff>
    </xdr:to>
    <xdr:graphicFrame>
      <xdr:nvGraphicFramePr>
        <xdr:cNvPr id="0" name="Chart 1"/>
        <xdr:cNvGraphicFramePr/>
      </xdr:nvGraphicFramePr>
      <xdr:xfrm>
        <a:off x="141120" y="4533840"/>
        <a:ext cx="511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12</xdr:col>
      <xdr:colOff>952920</xdr:colOff>
      <xdr:row>26</xdr:row>
      <xdr:rowOff>191160</xdr:rowOff>
    </xdr:to>
    <xdr:graphicFrame>
      <xdr:nvGraphicFramePr>
        <xdr:cNvPr id="1" name="Chart 2"/>
        <xdr:cNvGraphicFramePr/>
      </xdr:nvGraphicFramePr>
      <xdr:xfrm>
        <a:off x="5286240" y="4533840"/>
        <a:ext cx="511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953280</xdr:colOff>
      <xdr:row>42</xdr:row>
      <xdr:rowOff>191520</xdr:rowOff>
    </xdr:to>
    <xdr:graphicFrame>
      <xdr:nvGraphicFramePr>
        <xdr:cNvPr id="2" name="Chart 3"/>
        <xdr:cNvGraphicFramePr/>
      </xdr:nvGraphicFramePr>
      <xdr:xfrm>
        <a:off x="141120" y="8801280"/>
        <a:ext cx="511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952920</xdr:colOff>
      <xdr:row>42</xdr:row>
      <xdr:rowOff>191520</xdr:rowOff>
    </xdr:to>
    <xdr:graphicFrame>
      <xdr:nvGraphicFramePr>
        <xdr:cNvPr id="3" name="Chart 4"/>
        <xdr:cNvGraphicFramePr/>
      </xdr:nvGraphicFramePr>
      <xdr:xfrm>
        <a:off x="5286240" y="8801280"/>
        <a:ext cx="511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953280</xdr:colOff>
      <xdr:row>57</xdr:row>
      <xdr:rowOff>191160</xdr:rowOff>
    </xdr:to>
    <xdr:graphicFrame>
      <xdr:nvGraphicFramePr>
        <xdr:cNvPr id="4" name="Chart 5"/>
        <xdr:cNvGraphicFramePr/>
      </xdr:nvGraphicFramePr>
      <xdr:xfrm>
        <a:off x="141120" y="12801600"/>
        <a:ext cx="511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12</xdr:col>
      <xdr:colOff>952920</xdr:colOff>
      <xdr:row>57</xdr:row>
      <xdr:rowOff>191160</xdr:rowOff>
    </xdr:to>
    <xdr:graphicFrame>
      <xdr:nvGraphicFramePr>
        <xdr:cNvPr id="5" name="Chart 6"/>
        <xdr:cNvGraphicFramePr/>
      </xdr:nvGraphicFramePr>
      <xdr:xfrm>
        <a:off x="5286240" y="12801600"/>
        <a:ext cx="5111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tailSalesData" displayName="RetailSalesData" ref="A1:L31" headerRowCount="1" totalsRowCount="0" totalsRowShown="0">
  <autoFilter ref="A1:L31"/>
  <tableColumns count="12">
    <tableColumn id="1" name="Order_ID"/>
    <tableColumn id="2" name="Date"/>
    <tableColumn id="3" name="Product"/>
    <tableColumn id="4" name="Category"/>
    <tableColumn id="5" name="Region"/>
    <tableColumn id="6" name="Salesperson"/>
    <tableColumn id="7" name="Quantity"/>
    <tableColumn id="8" name="Unit_Price"/>
    <tableColumn id="9" name="Sales_Amount"/>
    <tableColumn id="10" name="Customer_Rating"/>
    <tableColumn id="11" name="Month"/>
    <tableColumn id="12" name="Month_Sor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10" min="7" style="0" width="14"/>
    <col collapsed="false" customWidth="true" hidden="false" outlineLevel="0" max="11" min="11" style="0" width="3"/>
    <col collapsed="false" customWidth="true" hidden="false" outlineLevel="0" max="14" min="12" style="0" width="14"/>
  </cols>
  <sheetData>
    <row r="1" customFormat="false" ht="21" hidden="false" customHeight="true" outlineLevel="0" collapsed="false"/>
    <row r="2" customFormat="false" ht="21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1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21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21" hidden="false" customHeight="true" outlineLevel="0" collapsed="false"/>
    <row r="6" customFormat="false" ht="21" hidden="false" customHeight="true" outlineLevel="0" collapsed="false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21" hidden="false" customHeight="true" outlineLevel="0" collapsed="false">
      <c r="B7" s="4" t="s">
        <v>3</v>
      </c>
      <c r="D7" s="4" t="s">
        <v>4</v>
      </c>
      <c r="F7" s="4" t="s">
        <v>5</v>
      </c>
      <c r="H7" s="4" t="s">
        <v>6</v>
      </c>
      <c r="J7" s="4" t="s">
        <v>7</v>
      </c>
      <c r="L7" s="4" t="s">
        <v>8</v>
      </c>
    </row>
    <row r="8" customFormat="false" ht="21" hidden="false" customHeight="true" outlineLevel="0" collapsed="false">
      <c r="B8" s="5" t="n">
        <v>46025</v>
      </c>
      <c r="D8" s="5" t="n">
        <v>46111</v>
      </c>
      <c r="F8" s="6" t="s">
        <v>9</v>
      </c>
      <c r="H8" s="6" t="s">
        <v>9</v>
      </c>
      <c r="J8" s="6" t="s">
        <v>9</v>
      </c>
      <c r="L8" s="6" t="s">
        <v>9</v>
      </c>
    </row>
    <row r="9" customFormat="false" ht="21" hidden="false" customHeight="true" outlineLevel="0" collapsed="false"/>
    <row r="10" customFormat="false" ht="21" hidden="false" customHeight="true" outlineLevel="0" collapsed="false">
      <c r="B10" s="7" t="s">
        <v>10</v>
      </c>
      <c r="C10" s="7"/>
      <c r="D10" s="7"/>
      <c r="E10" s="7" t="s">
        <v>11</v>
      </c>
      <c r="F10" s="7"/>
      <c r="G10" s="7"/>
      <c r="H10" s="7" t="s">
        <v>12</v>
      </c>
      <c r="I10" s="7"/>
      <c r="J10" s="7"/>
      <c r="K10" s="7" t="s">
        <v>13</v>
      </c>
      <c r="L10" s="7"/>
      <c r="M10" s="7"/>
      <c r="N10" s="7"/>
    </row>
    <row r="11" customFormat="false" ht="21" hidden="false" customHeight="true" outlineLevel="0" collapsed="false">
      <c r="B11" s="8" t="n">
        <f aca="false">'Dashboard Calc'!B2</f>
        <v>12258000</v>
      </c>
      <c r="C11" s="8"/>
      <c r="D11" s="8"/>
      <c r="E11" s="9" t="n">
        <f aca="false">'Dashboard Calc'!B3</f>
        <v>30</v>
      </c>
      <c r="F11" s="9"/>
      <c r="G11" s="9"/>
      <c r="H11" s="9" t="n">
        <f aca="false">'Dashboard Calc'!B4</f>
        <v>149</v>
      </c>
      <c r="I11" s="9"/>
      <c r="J11" s="9"/>
      <c r="K11" s="10" t="n">
        <f aca="false">'Dashboard Calc'!B5</f>
        <v>408600</v>
      </c>
      <c r="L11" s="10"/>
      <c r="M11" s="10"/>
      <c r="N11" s="10"/>
    </row>
    <row r="12" customFormat="false" ht="21" hidden="false" customHeight="true" outlineLevel="0" collapsed="false">
      <c r="B12" s="8"/>
      <c r="C12" s="8"/>
      <c r="D12" s="8"/>
      <c r="E12" s="9"/>
      <c r="F12" s="9"/>
      <c r="G12" s="9"/>
      <c r="H12" s="9"/>
      <c r="I12" s="9"/>
      <c r="J12" s="9"/>
      <c r="K12" s="10"/>
      <c r="L12" s="10"/>
      <c r="M12" s="10"/>
      <c r="N12" s="10"/>
    </row>
    <row r="13" customFormat="false" ht="21" hidden="false" customHeight="true" outlineLevel="0" collapsed="false">
      <c r="B13" s="8"/>
      <c r="C13" s="8"/>
      <c r="D13" s="8"/>
      <c r="E13" s="9"/>
      <c r="F13" s="9"/>
      <c r="G13" s="9"/>
      <c r="H13" s="9"/>
      <c r="I13" s="9"/>
      <c r="J13" s="9"/>
      <c r="K13" s="10"/>
      <c r="L13" s="10"/>
      <c r="M13" s="10"/>
      <c r="N13" s="10"/>
    </row>
    <row r="14" customFormat="false" ht="21" hidden="false" customHeight="true" outlineLevel="0" collapsed="false">
      <c r="B14" s="11" t="s">
        <v>14</v>
      </c>
      <c r="C14" s="11"/>
      <c r="D14" s="11"/>
      <c r="E14" s="11" t="s">
        <v>15</v>
      </c>
      <c r="F14" s="11"/>
      <c r="G14" s="11"/>
      <c r="H14" s="11" t="s">
        <v>16</v>
      </c>
      <c r="I14" s="11"/>
      <c r="J14" s="11"/>
      <c r="K14" s="11" t="s">
        <v>17</v>
      </c>
      <c r="L14" s="11"/>
      <c r="M14" s="11"/>
      <c r="N14" s="11"/>
    </row>
    <row r="15" customFormat="false" ht="21" hidden="false" customHeight="true" outlineLevel="0" collapsed="false">
      <c r="B15" s="12" t="n">
        <f aca="false">'Dashboard Calc'!B6</f>
        <v>4.3</v>
      </c>
      <c r="C15" s="12"/>
      <c r="D15" s="12"/>
      <c r="E15" s="13" t="str">
        <f aca="false">'Dashboard Calc'!B7</f>
        <v>Phone</v>
      </c>
      <c r="F15" s="13"/>
      <c r="G15" s="13"/>
      <c r="H15" s="13" t="str">
        <f aca="false">'Dashboard Calc'!B8</f>
        <v>South</v>
      </c>
      <c r="I15" s="13"/>
      <c r="J15" s="13"/>
      <c r="K15" s="13" t="str">
        <f aca="false">'Dashboard Calc'!B9</f>
        <v>Tunde</v>
      </c>
      <c r="L15" s="13"/>
      <c r="M15" s="13"/>
      <c r="N15" s="13"/>
    </row>
    <row r="16" customFormat="false" ht="21" hidden="false" customHeight="true" outlineLevel="0" collapsed="false"/>
    <row r="17" customFormat="false" ht="21" hidden="false" customHeight="true" outlineLevel="0" collapsed="false">
      <c r="B17" s="14" t="s">
        <v>18</v>
      </c>
      <c r="C17" s="14"/>
      <c r="D17" s="14"/>
      <c r="E17" s="14"/>
      <c r="F17" s="14"/>
      <c r="H17" s="14" t="s">
        <v>19</v>
      </c>
      <c r="I17" s="14"/>
      <c r="J17" s="14"/>
      <c r="K17" s="14"/>
      <c r="L17" s="14"/>
      <c r="M17" s="14"/>
      <c r="N17" s="14"/>
    </row>
    <row r="18" customFormat="false" ht="21" hidden="false" customHeight="true" outlineLevel="0" collapsed="false"/>
    <row r="19" customFormat="false" ht="21" hidden="false" customHeight="true" outlineLevel="0" collapsed="false"/>
    <row r="20" customFormat="false" ht="21" hidden="false" customHeight="true" outlineLevel="0" collapsed="false"/>
    <row r="21" customFormat="false" ht="21" hidden="false" customHeight="true" outlineLevel="0" collapsed="false"/>
    <row r="22" customFormat="false" ht="21" hidden="false" customHeight="true" outlineLevel="0" collapsed="false"/>
    <row r="23" customFormat="false" ht="21" hidden="false" customHeight="true" outlineLevel="0" collapsed="false"/>
    <row r="24" customFormat="false" ht="21" hidden="false" customHeight="true" outlineLevel="0" collapsed="false"/>
    <row r="25" customFormat="false" ht="21" hidden="false" customHeight="true" outlineLevel="0" collapsed="false"/>
    <row r="26" customFormat="false" ht="21" hidden="false" customHeight="true" outlineLevel="0" collapsed="false"/>
    <row r="27" customFormat="false" ht="21" hidden="false" customHeight="true" outlineLevel="0" collapsed="false"/>
    <row r="28" customFormat="false" ht="21" hidden="false" customHeight="true" outlineLevel="0" collapsed="false"/>
    <row r="29" customFormat="false" ht="21" hidden="false" customHeight="true" outlineLevel="0" collapsed="false"/>
    <row r="30" customFormat="false" ht="21" hidden="false" customHeight="true" outlineLevel="0" collapsed="false"/>
    <row r="31" customFormat="false" ht="21" hidden="false" customHeight="true" outlineLevel="0" collapsed="false"/>
    <row r="32" customFormat="false" ht="21" hidden="false" customHeight="true" outlineLevel="0" collapsed="false"/>
    <row r="33" customFormat="false" ht="21" hidden="false" customHeight="true" outlineLevel="0" collapsed="false">
      <c r="B33" s="14" t="s">
        <v>20</v>
      </c>
      <c r="C33" s="14"/>
      <c r="D33" s="14"/>
      <c r="E33" s="14"/>
      <c r="F33" s="14"/>
      <c r="H33" s="14" t="s">
        <v>21</v>
      </c>
      <c r="I33" s="14"/>
      <c r="J33" s="14"/>
      <c r="K33" s="14"/>
      <c r="L33" s="14"/>
      <c r="M33" s="14"/>
      <c r="N33" s="14"/>
    </row>
    <row r="34" customFormat="false" ht="21" hidden="false" customHeight="true" outlineLevel="0" collapsed="false"/>
    <row r="35" customFormat="false" ht="21" hidden="false" customHeight="true" outlineLevel="0" collapsed="false"/>
    <row r="36" customFormat="false" ht="21" hidden="false" customHeight="true" outlineLevel="0" collapsed="false"/>
    <row r="37" customFormat="false" ht="21" hidden="false" customHeight="true" outlineLevel="0" collapsed="false"/>
    <row r="38" customFormat="false" ht="21" hidden="false" customHeight="true" outlineLevel="0" collapsed="false"/>
    <row r="39" customFormat="false" ht="21" hidden="false" customHeight="true" outlineLevel="0" collapsed="false"/>
    <row r="40" customFormat="false" ht="21" hidden="false" customHeight="true" outlineLevel="0" collapsed="false"/>
    <row r="41" customFormat="false" ht="21" hidden="false" customHeight="true" outlineLevel="0" collapsed="false"/>
    <row r="42" customFormat="false" ht="21" hidden="false" customHeight="true" outlineLevel="0" collapsed="false"/>
    <row r="43" customFormat="false" ht="21" hidden="false" customHeight="true" outlineLevel="0" collapsed="false"/>
    <row r="44" customFormat="false" ht="21" hidden="false" customHeight="true" outlineLevel="0" collapsed="false"/>
    <row r="45" customFormat="false" ht="21" hidden="false" customHeight="true" outlineLevel="0" collapsed="false"/>
    <row r="46" customFormat="false" ht="21" hidden="false" customHeight="true" outlineLevel="0" collapsed="false"/>
    <row r="47" customFormat="false" ht="21" hidden="false" customHeight="true" outlineLevel="0" collapsed="false"/>
    <row r="48" customFormat="false" ht="21" hidden="false" customHeight="true" outlineLevel="0" collapsed="false">
      <c r="B48" s="14" t="s">
        <v>22</v>
      </c>
      <c r="C48" s="14"/>
      <c r="D48" s="14"/>
      <c r="E48" s="14"/>
      <c r="F48" s="14"/>
      <c r="H48" s="14" t="s">
        <v>23</v>
      </c>
      <c r="I48" s="14"/>
      <c r="J48" s="14"/>
      <c r="K48" s="14"/>
      <c r="L48" s="14"/>
      <c r="M48" s="14"/>
      <c r="N48" s="14"/>
    </row>
    <row r="49" customFormat="false" ht="21" hidden="false" customHeight="true" outlineLevel="0" collapsed="false"/>
    <row r="50" customFormat="false" ht="21" hidden="false" customHeight="true" outlineLevel="0" collapsed="false"/>
    <row r="51" customFormat="false" ht="21" hidden="false" customHeight="true" outlineLevel="0" collapsed="false"/>
    <row r="52" customFormat="false" ht="21" hidden="false" customHeight="true" outlineLevel="0" collapsed="false"/>
    <row r="53" customFormat="false" ht="21" hidden="false" customHeight="true" outlineLevel="0" collapsed="false"/>
    <row r="54" customFormat="false" ht="21" hidden="false" customHeight="true" outlineLevel="0" collapsed="false"/>
    <row r="55" customFormat="false" ht="21" hidden="false" customHeight="true" outlineLevel="0" collapsed="false"/>
    <row r="56" customFormat="false" ht="21" hidden="false" customHeight="true" outlineLevel="0" collapsed="false"/>
    <row r="57" customFormat="false" ht="21" hidden="false" customHeight="true" outlineLevel="0" collapsed="false"/>
    <row r="58" customFormat="false" ht="21" hidden="false" customHeight="true" outlineLevel="0" collapsed="false"/>
    <row r="59" customFormat="false" ht="21" hidden="false" customHeight="true" outlineLevel="0" collapsed="false"/>
    <row r="60" customFormat="false" ht="21" hidden="false" customHeight="true" outlineLevel="0" collapsed="false"/>
    <row r="61" customFormat="false" ht="21" hidden="false" customHeight="true" outlineLevel="0" collapsed="false"/>
    <row r="65" customFormat="false" ht="15" hidden="false" customHeight="true" outlineLevel="0" collapsed="false">
      <c r="B65" s="15" t="s">
        <v>24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customFormat="false" ht="15" hidden="false" customHeight="false" outlineLevel="0" collapsed="false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</sheetData>
  <mergeCells count="26">
    <mergeCell ref="B2:N3"/>
    <mergeCell ref="B4:N4"/>
    <mergeCell ref="B6:N6"/>
    <mergeCell ref="B10:D10"/>
    <mergeCell ref="E10:G10"/>
    <mergeCell ref="H10:J10"/>
    <mergeCell ref="K10:N10"/>
    <mergeCell ref="B11:D13"/>
    <mergeCell ref="E11:G13"/>
    <mergeCell ref="H11:J13"/>
    <mergeCell ref="K11:N13"/>
    <mergeCell ref="B14:D14"/>
    <mergeCell ref="E14:G14"/>
    <mergeCell ref="H14:J14"/>
    <mergeCell ref="K14:N14"/>
    <mergeCell ref="B15:D15"/>
    <mergeCell ref="E15:G15"/>
    <mergeCell ref="H15:J15"/>
    <mergeCell ref="K15:N15"/>
    <mergeCell ref="B17:F17"/>
    <mergeCell ref="H17:N17"/>
    <mergeCell ref="B33:F33"/>
    <mergeCell ref="H33:N33"/>
    <mergeCell ref="B48:F48"/>
    <mergeCell ref="H48:N48"/>
    <mergeCell ref="B65:N66"/>
  </mergeCells>
  <dataValidations count="5">
    <dataValidation allowBlank="false" errorStyle="stop" operator="between" showDropDown="false" showErrorMessage="false" showInputMessage="false" sqref="F8" type="list">
      <formula1>Lists!$A$2:$A$10</formula1>
      <formula2>0</formula2>
    </dataValidation>
    <dataValidation allowBlank="false" errorStyle="stop" operator="between" showDropDown="false" showErrorMessage="false" showInputMessage="false" sqref="H8" type="list">
      <formula1>Lists!$B$2:$B$5</formula1>
      <formula2>0</formula2>
    </dataValidation>
    <dataValidation allowBlank="false" errorStyle="stop" operator="between" showDropDown="false" showErrorMessage="false" showInputMessage="false" sqref="J8" type="list">
      <formula1>Lists!$C$2:$C$6</formula1>
      <formula2>0</formula2>
    </dataValidation>
    <dataValidation allowBlank="false" errorStyle="stop" operator="between" showDropDown="false" showErrorMessage="false" showInputMessage="false" sqref="L8" type="list">
      <formula1>Lists!$D$2:$D$7</formula1>
      <formula2>0</formula2>
    </dataValidation>
    <dataValidation allowBlank="false" errorStyle="stop" operator="between" showDropDown="false" showErrorMessage="false" showInputMessage="false" sqref="B8 D8" type="date">
      <formula1>DATE(2026,1,1)</formula1>
      <formula2>DATE(2026,12,31)</formula2>
    </dataValidation>
  </dataValidations>
  <printOptions headings="false" gridLines="false" gridLinesSet="true" horizontalCentered="false" verticalCentered="false"/>
  <pageMargins left="0.2" right="0.2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6" t="s">
        <v>25</v>
      </c>
      <c r="B1" s="16" t="s">
        <v>26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</row>
    <row r="2" customFormat="false" ht="15" hidden="false" customHeight="false" outlineLevel="0" collapsed="false">
      <c r="A2" s="0" t="s">
        <v>33</v>
      </c>
      <c r="B2" s="17" t="n">
        <v>46025</v>
      </c>
      <c r="C2" s="0" t="s">
        <v>34</v>
      </c>
      <c r="D2" s="0" t="s">
        <v>35</v>
      </c>
      <c r="E2" s="0" t="s">
        <v>36</v>
      </c>
      <c r="F2" s="0" t="s">
        <v>37</v>
      </c>
      <c r="G2" s="0" t="n">
        <v>2</v>
      </c>
      <c r="H2" s="18" t="n">
        <v>450000</v>
      </c>
      <c r="I2" s="18" t="n">
        <v>900000</v>
      </c>
      <c r="J2" s="19" t="n">
        <v>5</v>
      </c>
      <c r="K2" s="0" t="str">
        <f aca="false">TEXT(B2,"mmm yyyy")</f>
        <v>Jan 2026</v>
      </c>
      <c r="L2" s="17" t="n">
        <f aca="false">DATE(YEAR(B2),MONTH(B2),1)</f>
        <v>46023</v>
      </c>
    </row>
    <row r="3" customFormat="false" ht="15" hidden="false" customHeight="false" outlineLevel="0" collapsed="false">
      <c r="A3" s="0" t="s">
        <v>38</v>
      </c>
      <c r="B3" s="17" t="n">
        <v>46027</v>
      </c>
      <c r="C3" s="0" t="s">
        <v>39</v>
      </c>
      <c r="D3" s="0" t="s">
        <v>40</v>
      </c>
      <c r="E3" s="0" t="s">
        <v>41</v>
      </c>
      <c r="F3" s="0" t="s">
        <v>42</v>
      </c>
      <c r="G3" s="0" t="n">
        <v>10</v>
      </c>
      <c r="H3" s="18" t="n">
        <v>8000</v>
      </c>
      <c r="I3" s="18" t="n">
        <v>80000</v>
      </c>
      <c r="J3" s="19" t="n">
        <v>4</v>
      </c>
      <c r="K3" s="0" t="str">
        <f aca="false">TEXT(B3,"mmm yyyy")</f>
        <v>Jan 2026</v>
      </c>
      <c r="L3" s="17" t="n">
        <f aca="false">DATE(YEAR(B3),MONTH(B3),1)</f>
        <v>46023</v>
      </c>
    </row>
    <row r="4" customFormat="false" ht="15" hidden="false" customHeight="false" outlineLevel="0" collapsed="false">
      <c r="A4" s="0" t="s">
        <v>43</v>
      </c>
      <c r="B4" s="17" t="n">
        <v>46030</v>
      </c>
      <c r="C4" s="0" t="s">
        <v>44</v>
      </c>
      <c r="D4" s="0" t="s">
        <v>40</v>
      </c>
      <c r="E4" s="0" t="s">
        <v>45</v>
      </c>
      <c r="F4" s="0" t="s">
        <v>46</v>
      </c>
      <c r="G4" s="0" t="n">
        <v>6</v>
      </c>
      <c r="H4" s="18" t="n">
        <v>15000</v>
      </c>
      <c r="I4" s="18" t="n">
        <v>90000</v>
      </c>
      <c r="J4" s="19" t="n">
        <v>4</v>
      </c>
      <c r="K4" s="0" t="str">
        <f aca="false">TEXT(B4,"mmm yyyy")</f>
        <v>Jan 2026</v>
      </c>
      <c r="L4" s="17" t="n">
        <f aca="false">DATE(YEAR(B4),MONTH(B4),1)</f>
        <v>46023</v>
      </c>
    </row>
    <row r="5" customFormat="false" ht="15" hidden="false" customHeight="false" outlineLevel="0" collapsed="false">
      <c r="A5" s="0" t="s">
        <v>47</v>
      </c>
      <c r="B5" s="17" t="n">
        <v>46034</v>
      </c>
      <c r="C5" s="0" t="s">
        <v>48</v>
      </c>
      <c r="D5" s="0" t="s">
        <v>35</v>
      </c>
      <c r="E5" s="0" t="s">
        <v>49</v>
      </c>
      <c r="F5" s="0" t="s">
        <v>50</v>
      </c>
      <c r="G5" s="0" t="n">
        <v>3</v>
      </c>
      <c r="H5" s="18" t="n">
        <v>120000</v>
      </c>
      <c r="I5" s="18" t="n">
        <v>360000</v>
      </c>
      <c r="J5" s="19" t="n">
        <v>5</v>
      </c>
      <c r="K5" s="0" t="str">
        <f aca="false">TEXT(B5,"mmm yyyy")</f>
        <v>Jan 2026</v>
      </c>
      <c r="L5" s="17" t="n">
        <f aca="false">DATE(YEAR(B5),MONTH(B5),1)</f>
        <v>46023</v>
      </c>
    </row>
    <row r="6" customFormat="false" ht="15" hidden="false" customHeight="false" outlineLevel="0" collapsed="false">
      <c r="A6" s="0" t="s">
        <v>51</v>
      </c>
      <c r="B6" s="17" t="n">
        <v>46037</v>
      </c>
      <c r="C6" s="0" t="s">
        <v>52</v>
      </c>
      <c r="D6" s="0" t="s">
        <v>35</v>
      </c>
      <c r="E6" s="0" t="s">
        <v>36</v>
      </c>
      <c r="F6" s="0" t="s">
        <v>53</v>
      </c>
      <c r="G6" s="0" t="n">
        <v>4</v>
      </c>
      <c r="H6" s="18" t="n">
        <v>250000</v>
      </c>
      <c r="I6" s="18" t="n">
        <v>1000000</v>
      </c>
      <c r="J6" s="19" t="n">
        <v>5</v>
      </c>
      <c r="K6" s="0" t="str">
        <f aca="false">TEXT(B6,"mmm yyyy")</f>
        <v>Jan 2026</v>
      </c>
      <c r="L6" s="17" t="n">
        <f aca="false">DATE(YEAR(B6),MONTH(B6),1)</f>
        <v>46023</v>
      </c>
    </row>
    <row r="7" customFormat="false" ht="15" hidden="false" customHeight="false" outlineLevel="0" collapsed="false">
      <c r="A7" s="0" t="s">
        <v>54</v>
      </c>
      <c r="B7" s="17" t="n">
        <v>46040</v>
      </c>
      <c r="C7" s="0" t="s">
        <v>55</v>
      </c>
      <c r="D7" s="0" t="s">
        <v>40</v>
      </c>
      <c r="E7" s="0" t="s">
        <v>41</v>
      </c>
      <c r="F7" s="0" t="s">
        <v>42</v>
      </c>
      <c r="G7" s="0" t="n">
        <v>8</v>
      </c>
      <c r="H7" s="18" t="n">
        <v>20000</v>
      </c>
      <c r="I7" s="18" t="n">
        <v>160000</v>
      </c>
      <c r="J7" s="19" t="n">
        <v>3</v>
      </c>
      <c r="K7" s="0" t="str">
        <f aca="false">TEXT(B7,"mmm yyyy")</f>
        <v>Jan 2026</v>
      </c>
      <c r="L7" s="17" t="n">
        <f aca="false">DATE(YEAR(B7),MONTH(B7),1)</f>
        <v>46023</v>
      </c>
    </row>
    <row r="8" customFormat="false" ht="15" hidden="false" customHeight="false" outlineLevel="0" collapsed="false">
      <c r="A8" s="0" t="s">
        <v>56</v>
      </c>
      <c r="B8" s="17" t="n">
        <v>46042</v>
      </c>
      <c r="C8" s="0" t="s">
        <v>57</v>
      </c>
      <c r="D8" s="0" t="s">
        <v>58</v>
      </c>
      <c r="E8" s="0" t="s">
        <v>45</v>
      </c>
      <c r="F8" s="0" t="s">
        <v>37</v>
      </c>
      <c r="G8" s="0" t="n">
        <v>2</v>
      </c>
      <c r="H8" s="18" t="n">
        <v>95000</v>
      </c>
      <c r="I8" s="18" t="n">
        <v>190000</v>
      </c>
      <c r="J8" s="19" t="n">
        <v>4</v>
      </c>
      <c r="K8" s="0" t="str">
        <f aca="false">TEXT(B8,"mmm yyyy")</f>
        <v>Jan 2026</v>
      </c>
      <c r="L8" s="17" t="n">
        <f aca="false">DATE(YEAR(B8),MONTH(B8),1)</f>
        <v>46023</v>
      </c>
    </row>
    <row r="9" customFormat="false" ht="15" hidden="false" customHeight="false" outlineLevel="0" collapsed="false">
      <c r="A9" s="0" t="s">
        <v>59</v>
      </c>
      <c r="B9" s="17" t="n">
        <v>46044</v>
      </c>
      <c r="C9" s="0" t="s">
        <v>60</v>
      </c>
      <c r="D9" s="0" t="s">
        <v>35</v>
      </c>
      <c r="E9" s="0" t="s">
        <v>49</v>
      </c>
      <c r="F9" s="0" t="s">
        <v>46</v>
      </c>
      <c r="G9" s="0" t="n">
        <v>3</v>
      </c>
      <c r="H9" s="18" t="n">
        <v>180000</v>
      </c>
      <c r="I9" s="18" t="n">
        <v>540000</v>
      </c>
      <c r="J9" s="19" t="n">
        <v>5</v>
      </c>
      <c r="K9" s="0" t="str">
        <f aca="false">TEXT(B9,"mmm yyyy")</f>
        <v>Jan 2026</v>
      </c>
      <c r="L9" s="17" t="n">
        <f aca="false">DATE(YEAR(B9),MONTH(B9),1)</f>
        <v>46023</v>
      </c>
    </row>
    <row r="10" customFormat="false" ht="15" hidden="false" customHeight="false" outlineLevel="0" collapsed="false">
      <c r="A10" s="0" t="s">
        <v>61</v>
      </c>
      <c r="B10" s="17" t="n">
        <v>46047</v>
      </c>
      <c r="C10" s="0" t="s">
        <v>39</v>
      </c>
      <c r="D10" s="0" t="s">
        <v>40</v>
      </c>
      <c r="E10" s="0" t="s">
        <v>36</v>
      </c>
      <c r="F10" s="0" t="s">
        <v>50</v>
      </c>
      <c r="G10" s="0" t="n">
        <v>12</v>
      </c>
      <c r="H10" s="18" t="n">
        <v>8000</v>
      </c>
      <c r="I10" s="18" t="n">
        <v>96000</v>
      </c>
      <c r="J10" s="19" t="n">
        <v>4</v>
      </c>
      <c r="K10" s="0" t="str">
        <f aca="false">TEXT(B10,"mmm yyyy")</f>
        <v>Jan 2026</v>
      </c>
      <c r="L10" s="17" t="n">
        <f aca="false">DATE(YEAR(B10),MONTH(B10),1)</f>
        <v>46023</v>
      </c>
    </row>
    <row r="11" customFormat="false" ht="15" hidden="false" customHeight="false" outlineLevel="0" collapsed="false">
      <c r="A11" s="0" t="s">
        <v>62</v>
      </c>
      <c r="B11" s="17" t="n">
        <v>46049</v>
      </c>
      <c r="C11" s="0" t="s">
        <v>34</v>
      </c>
      <c r="D11" s="0" t="s">
        <v>35</v>
      </c>
      <c r="E11" s="0" t="s">
        <v>41</v>
      </c>
      <c r="F11" s="0" t="s">
        <v>53</v>
      </c>
      <c r="G11" s="0" t="n">
        <v>1</v>
      </c>
      <c r="H11" s="18" t="n">
        <v>450000</v>
      </c>
      <c r="I11" s="18" t="n">
        <v>450000</v>
      </c>
      <c r="J11" s="19" t="n">
        <v>5</v>
      </c>
      <c r="K11" s="0" t="str">
        <f aca="false">TEXT(B11,"mmm yyyy")</f>
        <v>Jan 2026</v>
      </c>
      <c r="L11" s="17" t="n">
        <f aca="false">DATE(YEAR(B11),MONTH(B11),1)</f>
        <v>46023</v>
      </c>
    </row>
    <row r="12" customFormat="false" ht="15" hidden="false" customHeight="false" outlineLevel="0" collapsed="false">
      <c r="A12" s="0" t="s">
        <v>63</v>
      </c>
      <c r="B12" s="17" t="n">
        <v>46055</v>
      </c>
      <c r="C12" s="0" t="s">
        <v>48</v>
      </c>
      <c r="D12" s="0" t="s">
        <v>35</v>
      </c>
      <c r="E12" s="0" t="s">
        <v>45</v>
      </c>
      <c r="F12" s="0" t="s">
        <v>37</v>
      </c>
      <c r="G12" s="0" t="n">
        <v>4</v>
      </c>
      <c r="H12" s="18" t="n">
        <v>120000</v>
      </c>
      <c r="I12" s="18" t="n">
        <v>480000</v>
      </c>
      <c r="J12" s="19" t="n">
        <v>4</v>
      </c>
      <c r="K12" s="0" t="str">
        <f aca="false">TEXT(B12,"mmm yyyy")</f>
        <v>Feb 2026</v>
      </c>
      <c r="L12" s="17" t="n">
        <f aca="false">DATE(YEAR(B12),MONTH(B12),1)</f>
        <v>46054</v>
      </c>
    </row>
    <row r="13" customFormat="false" ht="15" hidden="false" customHeight="false" outlineLevel="0" collapsed="false">
      <c r="A13" s="0" t="s">
        <v>64</v>
      </c>
      <c r="B13" s="17" t="n">
        <v>46057</v>
      </c>
      <c r="C13" s="0" t="s">
        <v>44</v>
      </c>
      <c r="D13" s="0" t="s">
        <v>40</v>
      </c>
      <c r="E13" s="0" t="s">
        <v>49</v>
      </c>
      <c r="F13" s="0" t="s">
        <v>42</v>
      </c>
      <c r="G13" s="0" t="n">
        <v>7</v>
      </c>
      <c r="H13" s="18" t="n">
        <v>15000</v>
      </c>
      <c r="I13" s="18" t="n">
        <v>105000</v>
      </c>
      <c r="J13" s="19" t="n">
        <v>3</v>
      </c>
      <c r="K13" s="0" t="str">
        <f aca="false">TEXT(B13,"mmm yyyy")</f>
        <v>Feb 2026</v>
      </c>
      <c r="L13" s="17" t="n">
        <f aca="false">DATE(YEAR(B13),MONTH(B13),1)</f>
        <v>46054</v>
      </c>
    </row>
    <row r="14" customFormat="false" ht="15" hidden="false" customHeight="false" outlineLevel="0" collapsed="false">
      <c r="A14" s="0" t="s">
        <v>65</v>
      </c>
      <c r="B14" s="17" t="n">
        <v>46060</v>
      </c>
      <c r="C14" s="0" t="s">
        <v>52</v>
      </c>
      <c r="D14" s="0" t="s">
        <v>35</v>
      </c>
      <c r="E14" s="0" t="s">
        <v>36</v>
      </c>
      <c r="F14" s="0" t="s">
        <v>46</v>
      </c>
      <c r="G14" s="0" t="n">
        <v>5</v>
      </c>
      <c r="H14" s="18" t="n">
        <v>250000</v>
      </c>
      <c r="I14" s="18" t="n">
        <v>1250000</v>
      </c>
      <c r="J14" s="19" t="n">
        <v>5</v>
      </c>
      <c r="K14" s="0" t="str">
        <f aca="false">TEXT(B14,"mmm yyyy")</f>
        <v>Feb 2026</v>
      </c>
      <c r="L14" s="17" t="n">
        <f aca="false">DATE(YEAR(B14),MONTH(B14),1)</f>
        <v>46054</v>
      </c>
    </row>
    <row r="15" customFormat="false" ht="15" hidden="false" customHeight="false" outlineLevel="0" collapsed="false">
      <c r="A15" s="0" t="s">
        <v>66</v>
      </c>
      <c r="B15" s="17" t="n">
        <v>46063</v>
      </c>
      <c r="C15" s="0" t="s">
        <v>57</v>
      </c>
      <c r="D15" s="0" t="s">
        <v>58</v>
      </c>
      <c r="E15" s="0" t="s">
        <v>41</v>
      </c>
      <c r="F15" s="0" t="s">
        <v>50</v>
      </c>
      <c r="G15" s="0" t="n">
        <v>3</v>
      </c>
      <c r="H15" s="18" t="n">
        <v>95000</v>
      </c>
      <c r="I15" s="18" t="n">
        <v>285000</v>
      </c>
      <c r="J15" s="19" t="n">
        <v>4</v>
      </c>
      <c r="K15" s="0" t="str">
        <f aca="false">TEXT(B15,"mmm yyyy")</f>
        <v>Feb 2026</v>
      </c>
      <c r="L15" s="17" t="n">
        <f aca="false">DATE(YEAR(B15),MONTH(B15),1)</f>
        <v>46054</v>
      </c>
    </row>
    <row r="16" customFormat="false" ht="15" hidden="false" customHeight="false" outlineLevel="0" collapsed="false">
      <c r="A16" s="0" t="s">
        <v>67</v>
      </c>
      <c r="B16" s="17" t="n">
        <v>46066</v>
      </c>
      <c r="C16" s="0" t="s">
        <v>60</v>
      </c>
      <c r="D16" s="0" t="s">
        <v>35</v>
      </c>
      <c r="E16" s="0" t="s">
        <v>45</v>
      </c>
      <c r="F16" s="0" t="s">
        <v>53</v>
      </c>
      <c r="G16" s="0" t="n">
        <v>2</v>
      </c>
      <c r="H16" s="18" t="n">
        <v>180000</v>
      </c>
      <c r="I16" s="18" t="n">
        <v>360000</v>
      </c>
      <c r="J16" s="19" t="n">
        <v>4</v>
      </c>
      <c r="K16" s="0" t="str">
        <f aca="false">TEXT(B16,"mmm yyyy")</f>
        <v>Feb 2026</v>
      </c>
      <c r="L16" s="17" t="n">
        <f aca="false">DATE(YEAR(B16),MONTH(B16),1)</f>
        <v>46054</v>
      </c>
    </row>
    <row r="17" customFormat="false" ht="15" hidden="false" customHeight="false" outlineLevel="0" collapsed="false">
      <c r="A17" s="0" t="s">
        <v>68</v>
      </c>
      <c r="B17" s="17" t="n">
        <v>46069</v>
      </c>
      <c r="C17" s="0" t="s">
        <v>55</v>
      </c>
      <c r="D17" s="0" t="s">
        <v>40</v>
      </c>
      <c r="E17" s="0" t="s">
        <v>49</v>
      </c>
      <c r="F17" s="0" t="s">
        <v>37</v>
      </c>
      <c r="G17" s="0" t="n">
        <v>9</v>
      </c>
      <c r="H17" s="18" t="n">
        <v>20000</v>
      </c>
      <c r="I17" s="18" t="n">
        <v>180000</v>
      </c>
      <c r="J17" s="19" t="n">
        <v>5</v>
      </c>
      <c r="K17" s="0" t="str">
        <f aca="false">TEXT(B17,"mmm yyyy")</f>
        <v>Feb 2026</v>
      </c>
      <c r="L17" s="17" t="n">
        <f aca="false">DATE(YEAR(B17),MONTH(B17),1)</f>
        <v>46054</v>
      </c>
    </row>
    <row r="18" customFormat="false" ht="15" hidden="false" customHeight="false" outlineLevel="0" collapsed="false">
      <c r="A18" s="0" t="s">
        <v>69</v>
      </c>
      <c r="B18" s="17" t="n">
        <v>46073</v>
      </c>
      <c r="C18" s="0" t="s">
        <v>34</v>
      </c>
      <c r="D18" s="0" t="s">
        <v>35</v>
      </c>
      <c r="E18" s="0" t="s">
        <v>36</v>
      </c>
      <c r="F18" s="0" t="s">
        <v>42</v>
      </c>
      <c r="G18" s="0" t="n">
        <v>2</v>
      </c>
      <c r="H18" s="18" t="n">
        <v>450000</v>
      </c>
      <c r="I18" s="18" t="n">
        <v>900000</v>
      </c>
      <c r="J18" s="19" t="n">
        <v>5</v>
      </c>
      <c r="K18" s="0" t="str">
        <f aca="false">TEXT(B18,"mmm yyyy")</f>
        <v>Feb 2026</v>
      </c>
      <c r="L18" s="17" t="n">
        <f aca="false">DATE(YEAR(B18),MONTH(B18),1)</f>
        <v>46054</v>
      </c>
    </row>
    <row r="19" customFormat="false" ht="15" hidden="false" customHeight="false" outlineLevel="0" collapsed="false">
      <c r="A19" s="0" t="s">
        <v>70</v>
      </c>
      <c r="B19" s="17" t="n">
        <v>46076</v>
      </c>
      <c r="C19" s="0" t="s">
        <v>39</v>
      </c>
      <c r="D19" s="0" t="s">
        <v>40</v>
      </c>
      <c r="E19" s="0" t="s">
        <v>41</v>
      </c>
      <c r="F19" s="0" t="s">
        <v>46</v>
      </c>
      <c r="G19" s="0" t="n">
        <v>15</v>
      </c>
      <c r="H19" s="18" t="n">
        <v>8000</v>
      </c>
      <c r="I19" s="18" t="n">
        <v>120000</v>
      </c>
      <c r="J19" s="19" t="n">
        <v>4</v>
      </c>
      <c r="K19" s="0" t="str">
        <f aca="false">TEXT(B19,"mmm yyyy")</f>
        <v>Feb 2026</v>
      </c>
      <c r="L19" s="17" t="n">
        <f aca="false">DATE(YEAR(B19),MONTH(B19),1)</f>
        <v>46054</v>
      </c>
    </row>
    <row r="20" customFormat="false" ht="15" hidden="false" customHeight="false" outlineLevel="0" collapsed="false">
      <c r="A20" s="0" t="s">
        <v>71</v>
      </c>
      <c r="B20" s="17" t="n">
        <v>46078</v>
      </c>
      <c r="C20" s="0" t="s">
        <v>48</v>
      </c>
      <c r="D20" s="0" t="s">
        <v>35</v>
      </c>
      <c r="E20" s="0" t="s">
        <v>45</v>
      </c>
      <c r="F20" s="0" t="s">
        <v>50</v>
      </c>
      <c r="G20" s="0" t="n">
        <v>2</v>
      </c>
      <c r="H20" s="18" t="n">
        <v>120000</v>
      </c>
      <c r="I20" s="18" t="n">
        <v>240000</v>
      </c>
      <c r="J20" s="19" t="n">
        <v>3</v>
      </c>
      <c r="K20" s="0" t="str">
        <f aca="false">TEXT(B20,"mmm yyyy")</f>
        <v>Feb 2026</v>
      </c>
      <c r="L20" s="17" t="n">
        <f aca="false">DATE(YEAR(B20),MONTH(B20),1)</f>
        <v>46054</v>
      </c>
    </row>
    <row r="21" customFormat="false" ht="15" hidden="false" customHeight="false" outlineLevel="0" collapsed="false">
      <c r="A21" s="0" t="s">
        <v>72</v>
      </c>
      <c r="B21" s="17" t="n">
        <v>46081</v>
      </c>
      <c r="C21" s="0" t="s">
        <v>52</v>
      </c>
      <c r="D21" s="0" t="s">
        <v>35</v>
      </c>
      <c r="E21" s="0" t="s">
        <v>49</v>
      </c>
      <c r="F21" s="0" t="s">
        <v>53</v>
      </c>
      <c r="G21" s="0" t="n">
        <v>3</v>
      </c>
      <c r="H21" s="18" t="n">
        <v>250000</v>
      </c>
      <c r="I21" s="18" t="n">
        <v>750000</v>
      </c>
      <c r="J21" s="19" t="n">
        <v>5</v>
      </c>
      <c r="K21" s="0" t="str">
        <f aca="false">TEXT(B21,"mmm yyyy")</f>
        <v>Feb 2026</v>
      </c>
      <c r="L21" s="17" t="n">
        <f aca="false">DATE(YEAR(B21),MONTH(B21),1)</f>
        <v>46054</v>
      </c>
    </row>
    <row r="22" customFormat="false" ht="15" hidden="false" customHeight="false" outlineLevel="0" collapsed="false">
      <c r="A22" s="0" t="s">
        <v>73</v>
      </c>
      <c r="B22" s="17" t="n">
        <v>46084</v>
      </c>
      <c r="C22" s="0" t="s">
        <v>44</v>
      </c>
      <c r="D22" s="0" t="s">
        <v>40</v>
      </c>
      <c r="E22" s="0" t="s">
        <v>36</v>
      </c>
      <c r="F22" s="0" t="s">
        <v>37</v>
      </c>
      <c r="G22" s="0" t="n">
        <v>10</v>
      </c>
      <c r="H22" s="18" t="n">
        <v>15000</v>
      </c>
      <c r="I22" s="18" t="n">
        <v>150000</v>
      </c>
      <c r="J22" s="19" t="n">
        <v>4</v>
      </c>
      <c r="K22" s="0" t="str">
        <f aca="false">TEXT(B22,"mmm yyyy")</f>
        <v>Mar 2026</v>
      </c>
      <c r="L22" s="17" t="n">
        <f aca="false">DATE(YEAR(B22),MONTH(B22),1)</f>
        <v>46082</v>
      </c>
    </row>
    <row r="23" customFormat="false" ht="15" hidden="false" customHeight="false" outlineLevel="0" collapsed="false">
      <c r="A23" s="0" t="s">
        <v>74</v>
      </c>
      <c r="B23" s="17" t="n">
        <v>46087</v>
      </c>
      <c r="C23" s="0" t="s">
        <v>57</v>
      </c>
      <c r="D23" s="0" t="s">
        <v>58</v>
      </c>
      <c r="E23" s="0" t="s">
        <v>41</v>
      </c>
      <c r="F23" s="0" t="s">
        <v>42</v>
      </c>
      <c r="G23" s="0" t="n">
        <v>4</v>
      </c>
      <c r="H23" s="18" t="n">
        <v>95000</v>
      </c>
      <c r="I23" s="18" t="n">
        <v>380000</v>
      </c>
      <c r="J23" s="19" t="n">
        <v>5</v>
      </c>
      <c r="K23" s="0" t="str">
        <f aca="false">TEXT(B23,"mmm yyyy")</f>
        <v>Mar 2026</v>
      </c>
      <c r="L23" s="17" t="n">
        <f aca="false">DATE(YEAR(B23),MONTH(B23),1)</f>
        <v>46082</v>
      </c>
    </row>
    <row r="24" customFormat="false" ht="15" hidden="false" customHeight="false" outlineLevel="0" collapsed="false">
      <c r="A24" s="0" t="s">
        <v>75</v>
      </c>
      <c r="B24" s="17" t="n">
        <v>46090</v>
      </c>
      <c r="C24" s="0" t="s">
        <v>60</v>
      </c>
      <c r="D24" s="0" t="s">
        <v>35</v>
      </c>
      <c r="E24" s="0" t="s">
        <v>45</v>
      </c>
      <c r="F24" s="0" t="s">
        <v>46</v>
      </c>
      <c r="G24" s="0" t="n">
        <v>3</v>
      </c>
      <c r="H24" s="18" t="n">
        <v>180000</v>
      </c>
      <c r="I24" s="18" t="n">
        <v>540000</v>
      </c>
      <c r="J24" s="19" t="n">
        <v>4</v>
      </c>
      <c r="K24" s="0" t="str">
        <f aca="false">TEXT(B24,"mmm yyyy")</f>
        <v>Mar 2026</v>
      </c>
      <c r="L24" s="17" t="n">
        <f aca="false">DATE(YEAR(B24),MONTH(B24),1)</f>
        <v>46082</v>
      </c>
    </row>
    <row r="25" customFormat="false" ht="15" hidden="false" customHeight="false" outlineLevel="0" collapsed="false">
      <c r="A25" s="0" t="s">
        <v>76</v>
      </c>
      <c r="B25" s="17" t="n">
        <v>46093</v>
      </c>
      <c r="C25" s="0" t="s">
        <v>55</v>
      </c>
      <c r="D25" s="0" t="s">
        <v>40</v>
      </c>
      <c r="E25" s="0" t="s">
        <v>49</v>
      </c>
      <c r="F25" s="0" t="s">
        <v>50</v>
      </c>
      <c r="G25" s="0" t="n">
        <v>6</v>
      </c>
      <c r="H25" s="18" t="n">
        <v>20000</v>
      </c>
      <c r="I25" s="18" t="n">
        <v>120000</v>
      </c>
      <c r="J25" s="19" t="n">
        <v>4</v>
      </c>
      <c r="K25" s="0" t="str">
        <f aca="false">TEXT(B25,"mmm yyyy")</f>
        <v>Mar 2026</v>
      </c>
      <c r="L25" s="17" t="n">
        <f aca="false">DATE(YEAR(B25),MONTH(B25),1)</f>
        <v>46082</v>
      </c>
    </row>
    <row r="26" customFormat="false" ht="15" hidden="false" customHeight="false" outlineLevel="0" collapsed="false">
      <c r="A26" s="0" t="s">
        <v>77</v>
      </c>
      <c r="B26" s="17" t="n">
        <v>46096</v>
      </c>
      <c r="C26" s="0" t="s">
        <v>34</v>
      </c>
      <c r="D26" s="0" t="s">
        <v>35</v>
      </c>
      <c r="E26" s="0" t="s">
        <v>36</v>
      </c>
      <c r="F26" s="0" t="s">
        <v>53</v>
      </c>
      <c r="G26" s="0" t="n">
        <v>1</v>
      </c>
      <c r="H26" s="18" t="n">
        <v>450000</v>
      </c>
      <c r="I26" s="18" t="n">
        <v>450000</v>
      </c>
      <c r="J26" s="19" t="n">
        <v>5</v>
      </c>
      <c r="K26" s="0" t="str">
        <f aca="false">TEXT(B26,"mmm yyyy")</f>
        <v>Mar 2026</v>
      </c>
      <c r="L26" s="17" t="n">
        <f aca="false">DATE(YEAR(B26),MONTH(B26),1)</f>
        <v>46082</v>
      </c>
    </row>
    <row r="27" customFormat="false" ht="15" hidden="false" customHeight="false" outlineLevel="0" collapsed="false">
      <c r="A27" s="0" t="s">
        <v>78</v>
      </c>
      <c r="B27" s="17" t="n">
        <v>46099</v>
      </c>
      <c r="C27" s="0" t="s">
        <v>48</v>
      </c>
      <c r="D27" s="0" t="s">
        <v>35</v>
      </c>
      <c r="E27" s="0" t="s">
        <v>41</v>
      </c>
      <c r="F27" s="0" t="s">
        <v>37</v>
      </c>
      <c r="G27" s="0" t="n">
        <v>5</v>
      </c>
      <c r="H27" s="18" t="n">
        <v>120000</v>
      </c>
      <c r="I27" s="18" t="n">
        <v>600000</v>
      </c>
      <c r="J27" s="19" t="n">
        <v>4</v>
      </c>
      <c r="K27" s="0" t="str">
        <f aca="false">TEXT(B27,"mmm yyyy")</f>
        <v>Mar 2026</v>
      </c>
      <c r="L27" s="17" t="n">
        <f aca="false">DATE(YEAR(B27),MONTH(B27),1)</f>
        <v>46082</v>
      </c>
    </row>
    <row r="28" customFormat="false" ht="15" hidden="false" customHeight="false" outlineLevel="0" collapsed="false">
      <c r="A28" s="0" t="s">
        <v>79</v>
      </c>
      <c r="B28" s="17" t="n">
        <v>46102</v>
      </c>
      <c r="C28" s="0" t="s">
        <v>52</v>
      </c>
      <c r="D28" s="0" t="s">
        <v>35</v>
      </c>
      <c r="E28" s="0" t="s">
        <v>45</v>
      </c>
      <c r="F28" s="0" t="s">
        <v>42</v>
      </c>
      <c r="G28" s="0" t="n">
        <v>2</v>
      </c>
      <c r="H28" s="18" t="n">
        <v>250000</v>
      </c>
      <c r="I28" s="18" t="n">
        <v>500000</v>
      </c>
      <c r="J28" s="19" t="n">
        <v>5</v>
      </c>
      <c r="K28" s="0" t="str">
        <f aca="false">TEXT(B28,"mmm yyyy")</f>
        <v>Mar 2026</v>
      </c>
      <c r="L28" s="17" t="n">
        <f aca="false">DATE(YEAR(B28),MONTH(B28),1)</f>
        <v>46082</v>
      </c>
    </row>
    <row r="29" customFormat="false" ht="15" hidden="false" customHeight="false" outlineLevel="0" collapsed="false">
      <c r="A29" s="0" t="s">
        <v>80</v>
      </c>
      <c r="B29" s="17" t="n">
        <v>46105</v>
      </c>
      <c r="C29" s="0" t="s">
        <v>39</v>
      </c>
      <c r="D29" s="0" t="s">
        <v>40</v>
      </c>
      <c r="E29" s="0" t="s">
        <v>49</v>
      </c>
      <c r="F29" s="0" t="s">
        <v>46</v>
      </c>
      <c r="G29" s="0" t="n">
        <v>9</v>
      </c>
      <c r="H29" s="18" t="n">
        <v>8000</v>
      </c>
      <c r="I29" s="18" t="n">
        <v>72000</v>
      </c>
      <c r="J29" s="19" t="n">
        <v>3</v>
      </c>
      <c r="K29" s="0" t="str">
        <f aca="false">TEXT(B29,"mmm yyyy")</f>
        <v>Mar 2026</v>
      </c>
      <c r="L29" s="17" t="n">
        <f aca="false">DATE(YEAR(B29),MONTH(B29),1)</f>
        <v>46082</v>
      </c>
    </row>
    <row r="30" customFormat="false" ht="15" hidden="false" customHeight="false" outlineLevel="0" collapsed="false">
      <c r="A30" s="0" t="s">
        <v>81</v>
      </c>
      <c r="B30" s="17" t="n">
        <v>46108</v>
      </c>
      <c r="C30" s="0" t="s">
        <v>57</v>
      </c>
      <c r="D30" s="0" t="s">
        <v>58</v>
      </c>
      <c r="E30" s="0" t="s">
        <v>36</v>
      </c>
      <c r="F30" s="0" t="s">
        <v>50</v>
      </c>
      <c r="G30" s="0" t="n">
        <v>2</v>
      </c>
      <c r="H30" s="18" t="n">
        <v>95000</v>
      </c>
      <c r="I30" s="18" t="n">
        <v>190000</v>
      </c>
      <c r="J30" s="19" t="n">
        <v>4</v>
      </c>
      <c r="K30" s="0" t="str">
        <f aca="false">TEXT(B30,"mmm yyyy")</f>
        <v>Mar 2026</v>
      </c>
      <c r="L30" s="17" t="n">
        <f aca="false">DATE(YEAR(B30),MONTH(B30),1)</f>
        <v>46082</v>
      </c>
    </row>
    <row r="31" customFormat="false" ht="15" hidden="false" customHeight="false" outlineLevel="0" collapsed="false">
      <c r="A31" s="0" t="s">
        <v>82</v>
      </c>
      <c r="B31" s="17" t="n">
        <v>46111</v>
      </c>
      <c r="C31" s="0" t="s">
        <v>60</v>
      </c>
      <c r="D31" s="0" t="s">
        <v>35</v>
      </c>
      <c r="E31" s="0" t="s">
        <v>41</v>
      </c>
      <c r="F31" s="0" t="s">
        <v>53</v>
      </c>
      <c r="G31" s="0" t="n">
        <v>4</v>
      </c>
      <c r="H31" s="18" t="n">
        <v>180000</v>
      </c>
      <c r="I31" s="18" t="n">
        <v>720000</v>
      </c>
      <c r="J31" s="19" t="n">
        <v>5</v>
      </c>
      <c r="K31" s="0" t="str">
        <f aca="false">TEXT(B31,"mmm yyyy")</f>
        <v>Mar 2026</v>
      </c>
      <c r="L31" s="17" t="n">
        <f aca="false">DATE(YEAR(B31),MONTH(B31),1)</f>
        <v>46082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0" t="s">
        <v>83</v>
      </c>
      <c r="B1" s="20" t="s">
        <v>84</v>
      </c>
      <c r="D1" s="21" t="s">
        <v>5</v>
      </c>
      <c r="E1" s="21" t="s">
        <v>85</v>
      </c>
      <c r="G1" s="21" t="s">
        <v>7</v>
      </c>
      <c r="H1" s="21" t="s">
        <v>85</v>
      </c>
      <c r="J1" s="21" t="s">
        <v>8</v>
      </c>
      <c r="K1" s="21" t="s">
        <v>85</v>
      </c>
      <c r="M1" s="21" t="s">
        <v>31</v>
      </c>
      <c r="N1" s="21" t="s">
        <v>85</v>
      </c>
      <c r="P1" s="21" t="s">
        <v>6</v>
      </c>
      <c r="Q1" s="21" t="s">
        <v>85</v>
      </c>
      <c r="S1" s="21" t="s">
        <v>5</v>
      </c>
      <c r="T1" s="21" t="s">
        <v>86</v>
      </c>
    </row>
    <row r="2" customFormat="false" ht="15" hidden="false" customHeight="false" outlineLevel="0" collapsed="false">
      <c r="A2" s="21" t="s">
        <v>87</v>
      </c>
      <c r="B2" s="22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Data'!$F$2:$F$31=Dashboard!$L$8))*'Retail Sales Data'!$I$2:$I$31)</f>
        <v>12258000</v>
      </c>
      <c r="D2" s="21" t="s">
        <v>55</v>
      </c>
      <c r="E2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Data'!$C$2:$C$31=D2)*'Retail Sales Data'!$I$2:$I$31)</f>
        <v>460000</v>
      </c>
      <c r="G2" s="21" t="s">
        <v>49</v>
      </c>
      <c r="H2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Data'!$E$2:$E$31=G2)*'Retail Sales Data'!$I$2:$I$31)</f>
        <v>2127000</v>
      </c>
      <c r="J2" s="21" t="s">
        <v>37</v>
      </c>
      <c r="K2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Data'!$F$2:$F$31=J2)*'Retail Sales Data'!$I$2:$I$31)</f>
        <v>2500000</v>
      </c>
      <c r="M2" s="23" t="n">
        <v>46023</v>
      </c>
      <c r="N2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Data'!$B$2:$B$31&gt;=M2)*--('Retail Sales Data'!$B$2:$B$31&lt;EDATE(M2,1))*'Retail Sales Data'!$I$2:$I$31)</f>
        <v>3866000</v>
      </c>
      <c r="P2" s="21" t="s">
        <v>40</v>
      </c>
      <c r="Q2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Data'!$D$2:$D$31=P2)*'Retail Sales Data'!$I$2:$I$31)</f>
        <v>1173000</v>
      </c>
      <c r="S2" s="21" t="s">
        <v>55</v>
      </c>
      <c r="T2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Data'!$C$2:$C$31=S2)*'Retail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Data'!$C$2:$C$31=S2)),0)</f>
        <v>4</v>
      </c>
    </row>
    <row r="3" customFormat="false" ht="15" hidden="false" customHeight="false" outlineLevel="0" collapsed="false">
      <c r="A3" s="21" t="s">
        <v>88</v>
      </c>
      <c r="B3" s="22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Data'!$F$2:$F$31=Dashboard!$L$8)))</f>
        <v>30</v>
      </c>
      <c r="D3" s="21" t="s">
        <v>44</v>
      </c>
      <c r="E3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Data'!$C$2:$C$31=D3)*'Retail Sales Data'!$I$2:$I$31)</f>
        <v>345000</v>
      </c>
      <c r="G3" s="21" t="s">
        <v>45</v>
      </c>
      <c r="H3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Data'!$E$2:$E$31=G3)*'Retail Sales Data'!$I$2:$I$31)</f>
        <v>2400000</v>
      </c>
      <c r="J3" s="21" t="s">
        <v>50</v>
      </c>
      <c r="K3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Data'!$F$2:$F$31=J3)*'Retail Sales Data'!$I$2:$I$31)</f>
        <v>1291000</v>
      </c>
      <c r="M3" s="23" t="n">
        <v>46054</v>
      </c>
      <c r="N3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Data'!$B$2:$B$31&gt;=M3)*--('Retail Sales Data'!$B$2:$B$31&lt;EDATE(M3,1))*'Retail Sales Data'!$I$2:$I$31)</f>
        <v>4670000</v>
      </c>
      <c r="P3" s="21" t="s">
        <v>35</v>
      </c>
      <c r="Q3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Data'!$D$2:$D$31=P3)*'Retail Sales Data'!$I$2:$I$31)</f>
        <v>10040000</v>
      </c>
      <c r="S3" s="21" t="s">
        <v>44</v>
      </c>
      <c r="T3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Data'!$C$2:$C$31=S3)*'Retail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Data'!$C$2:$C$31=S3)),0)</f>
        <v>3.66666666666667</v>
      </c>
    </row>
    <row r="4" customFormat="false" ht="15" hidden="false" customHeight="false" outlineLevel="0" collapsed="false">
      <c r="A4" s="21" t="s">
        <v>89</v>
      </c>
      <c r="B4" s="22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Data'!$F$2:$F$31=Dashboard!$L$8))*'Retail Sales Data'!$G$2:$G$31)</f>
        <v>149</v>
      </c>
      <c r="D4" s="21" t="s">
        <v>34</v>
      </c>
      <c r="E4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Data'!$C$2:$C$31=D4)*'Retail Sales Data'!$I$2:$I$31)</f>
        <v>2700000</v>
      </c>
      <c r="G4" s="21" t="s">
        <v>36</v>
      </c>
      <c r="H4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Data'!$E$2:$E$31=G4)*'Retail Sales Data'!$I$2:$I$31)</f>
        <v>4936000</v>
      </c>
      <c r="J4" s="21" t="s">
        <v>42</v>
      </c>
      <c r="K4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Data'!$F$2:$F$31=J4)*'Retail Sales Data'!$I$2:$I$31)</f>
        <v>2125000</v>
      </c>
      <c r="M4" s="23" t="n">
        <v>46082</v>
      </c>
      <c r="N4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Data'!$B$2:$B$31&gt;=M4)*--('Retail Sales Data'!$B$2:$B$31&lt;EDATE(M4,1))*'Retail Sales Data'!$I$2:$I$31)</f>
        <v>3722000</v>
      </c>
      <c r="P4" s="21" t="s">
        <v>58</v>
      </c>
      <c r="Q4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Data'!$D$2:$D$31=P4)*'Retail Sales Data'!$I$2:$I$31)</f>
        <v>1045000</v>
      </c>
      <c r="S4" s="21" t="s">
        <v>34</v>
      </c>
      <c r="T4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Data'!$C$2:$C$31=S4)*'Retail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Data'!$C$2:$C$31=S4)),0)</f>
        <v>5</v>
      </c>
    </row>
    <row r="5" customFormat="false" ht="15" hidden="false" customHeight="false" outlineLevel="0" collapsed="false">
      <c r="A5" s="21" t="s">
        <v>90</v>
      </c>
      <c r="B5" s="22" t="n">
        <f aca="false">IFERROR(B2/B3,0)</f>
        <v>408600</v>
      </c>
      <c r="D5" s="21" t="s">
        <v>48</v>
      </c>
      <c r="E5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Data'!$C$2:$C$31=D5)*'Retail Sales Data'!$I$2:$I$31)</f>
        <v>1680000</v>
      </c>
      <c r="G5" s="21" t="s">
        <v>41</v>
      </c>
      <c r="H5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Data'!$E$2:$E$31=G5)*'Retail Sales Data'!$I$2:$I$31)</f>
        <v>2795000</v>
      </c>
      <c r="J5" s="21" t="s">
        <v>46</v>
      </c>
      <c r="K5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Data'!$F$2:$F$31=J5)*'Retail Sales Data'!$I$2:$I$31)</f>
        <v>2612000</v>
      </c>
      <c r="S5" s="21" t="s">
        <v>48</v>
      </c>
      <c r="T5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Data'!$C$2:$C$31=S5)*'Retail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Data'!$C$2:$C$31=S5)),0)</f>
        <v>4</v>
      </c>
    </row>
    <row r="6" customFormat="false" ht="15" hidden="false" customHeight="false" outlineLevel="0" collapsed="false">
      <c r="A6" s="21" t="s">
        <v>91</v>
      </c>
      <c r="B6" s="24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Data'!$F$2:$F$31=Dashboard!$L$8))*'Retail Sales Data'!$J$2:$J$31)/B3,0)</f>
        <v>4.3</v>
      </c>
      <c r="D6" s="21" t="s">
        <v>39</v>
      </c>
      <c r="E6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Data'!$C$2:$C$31=D6)*'Retail Sales Data'!$I$2:$I$31)</f>
        <v>368000</v>
      </c>
      <c r="J6" s="21" t="s">
        <v>53</v>
      </c>
      <c r="K6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Data'!$F$2:$F$31=J6)*'Retail Sales Data'!$I$2:$I$31)</f>
        <v>3730000</v>
      </c>
      <c r="S6" s="21" t="s">
        <v>39</v>
      </c>
      <c r="T6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Data'!$C$2:$C$31=S6)*'Retail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Data'!$C$2:$C$31=S6)),0)</f>
        <v>3.75</v>
      </c>
    </row>
    <row r="7" customFormat="false" ht="15" hidden="false" customHeight="false" outlineLevel="0" collapsed="false">
      <c r="A7" s="21" t="s">
        <v>15</v>
      </c>
      <c r="B7" s="21" t="str">
        <f aca="false">INDEX(D2:D9,MATCH(MAX(E2:E9),E2:E9,0))</f>
        <v>Phone</v>
      </c>
      <c r="D7" s="21" t="s">
        <v>52</v>
      </c>
      <c r="E7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Data'!$C$2:$C$31=D7)*'Retail Sales Data'!$I$2:$I$31)</f>
        <v>3500000</v>
      </c>
      <c r="S7" s="21" t="s">
        <v>52</v>
      </c>
      <c r="T7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Data'!$C$2:$C$31=S7)*'Retail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Data'!$C$2:$C$31=S7)),0)</f>
        <v>5</v>
      </c>
    </row>
    <row r="8" customFormat="false" ht="15" hidden="false" customHeight="false" outlineLevel="0" collapsed="false">
      <c r="A8" s="21" t="s">
        <v>16</v>
      </c>
      <c r="B8" s="21" t="str">
        <f aca="false">INDEX(G2:G5,MATCH(MAX(H2:H5),H2:H5,0))</f>
        <v>South</v>
      </c>
      <c r="D8" s="21" t="s">
        <v>57</v>
      </c>
      <c r="E8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Data'!$C$2:$C$31=D8)*'Retail Sales Data'!$I$2:$I$31)</f>
        <v>1045000</v>
      </c>
      <c r="S8" s="21" t="s">
        <v>57</v>
      </c>
      <c r="T8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Data'!$C$2:$C$31=S8)*'Retail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Data'!$C$2:$C$31=S8)),0)</f>
        <v>4.25</v>
      </c>
    </row>
    <row r="9" customFormat="false" ht="15" hidden="false" customHeight="false" outlineLevel="0" collapsed="false">
      <c r="A9" s="21" t="s">
        <v>17</v>
      </c>
      <c r="B9" s="21" t="str">
        <f aca="false">INDEX(J2:J6,MATCH(MAX(K2:K6),K2:K6,0))</f>
        <v>Tunde</v>
      </c>
      <c r="D9" s="21" t="s">
        <v>60</v>
      </c>
      <c r="E9" s="21" t="n">
        <f aca="false">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Data'!$C$2:$C$31=D9)*'Retail Sales Data'!$I$2:$I$31)</f>
        <v>2160000</v>
      </c>
      <c r="S9" s="21" t="s">
        <v>60</v>
      </c>
      <c r="T9" s="21" t="n">
        <f aca="false">IFERROR(SUMPRODUCT(('Retail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Data'!$C$2:$C$31=S9)*'Retail Sales Data'!$J$2:$J$31)/SUMPRODUCT(('Retail Sales Data'!$B$2:$B$31&gt;=Dashboard!$B$8)*('Retail Sales Data'!$B$2:$B$31&lt;=Dashboard!$D$8)*IF(Dashboard!$F$8="All",1,--('Retail Sales Data'!$C$2:$C$31=Dashboard!$F$8))*IF(Dashboard!$H$8="All",1,--('Retail Sales Data'!$D$2:$D$31=Dashboard!$H$8))*IF(Dashboard!$J$8="All",1,--('Retail Sales Data'!$E$2:$E$31=Dashboard!$J$8))*IF(Dashboard!$L$8="All",1,--('Retail Sales Data'!$F$2:$F$31=Dashboard!$L$8))*--('Retail Sales Data'!$C$2:$C$31=S9)),0)</f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25" t="s">
        <v>92</v>
      </c>
      <c r="B1" s="25" t="s">
        <v>93</v>
      </c>
      <c r="C1" s="25" t="s">
        <v>94</v>
      </c>
      <c r="D1" s="25" t="s">
        <v>95</v>
      </c>
      <c r="E1" s="25" t="s">
        <v>96</v>
      </c>
    </row>
    <row r="2" customFormat="false" ht="15" hidden="false" customHeight="false" outlineLevel="0" collapsed="false">
      <c r="A2" s="0" t="s">
        <v>9</v>
      </c>
      <c r="B2" s="0" t="s">
        <v>9</v>
      </c>
      <c r="C2" s="0" t="s">
        <v>9</v>
      </c>
      <c r="D2" s="0" t="s">
        <v>9</v>
      </c>
      <c r="E2" s="17" t="n">
        <v>46025</v>
      </c>
    </row>
    <row r="3" customFormat="false" ht="15" hidden="false" customHeight="false" outlineLevel="0" collapsed="false">
      <c r="A3" s="0" t="s">
        <v>55</v>
      </c>
      <c r="B3" s="0" t="s">
        <v>40</v>
      </c>
      <c r="C3" s="0" t="s">
        <v>49</v>
      </c>
      <c r="D3" s="0" t="s">
        <v>37</v>
      </c>
      <c r="E3" s="17" t="n">
        <v>46027</v>
      </c>
    </row>
    <row r="4" customFormat="false" ht="15" hidden="false" customHeight="false" outlineLevel="0" collapsed="false">
      <c r="A4" s="0" t="s">
        <v>44</v>
      </c>
      <c r="B4" s="0" t="s">
        <v>35</v>
      </c>
      <c r="C4" s="0" t="s">
        <v>45</v>
      </c>
      <c r="D4" s="0" t="s">
        <v>50</v>
      </c>
      <c r="E4" s="17" t="n">
        <v>46030</v>
      </c>
    </row>
    <row r="5" customFormat="false" ht="15" hidden="false" customHeight="false" outlineLevel="0" collapsed="false">
      <c r="A5" s="0" t="s">
        <v>34</v>
      </c>
      <c r="B5" s="0" t="s">
        <v>58</v>
      </c>
      <c r="C5" s="0" t="s">
        <v>36</v>
      </c>
      <c r="D5" s="0" t="s">
        <v>42</v>
      </c>
      <c r="E5" s="17" t="n">
        <v>46034</v>
      </c>
    </row>
    <row r="6" customFormat="false" ht="15" hidden="false" customHeight="false" outlineLevel="0" collapsed="false">
      <c r="A6" s="0" t="s">
        <v>48</v>
      </c>
      <c r="C6" s="0" t="s">
        <v>41</v>
      </c>
      <c r="D6" s="0" t="s">
        <v>46</v>
      </c>
      <c r="E6" s="17" t="n">
        <v>46037</v>
      </c>
    </row>
    <row r="7" customFormat="false" ht="15" hidden="false" customHeight="false" outlineLevel="0" collapsed="false">
      <c r="A7" s="0" t="s">
        <v>39</v>
      </c>
      <c r="D7" s="0" t="s">
        <v>53</v>
      </c>
      <c r="E7" s="17" t="n">
        <v>46040</v>
      </c>
    </row>
    <row r="8" customFormat="false" ht="15" hidden="false" customHeight="false" outlineLevel="0" collapsed="false">
      <c r="A8" s="0" t="s">
        <v>52</v>
      </c>
      <c r="E8" s="17" t="n">
        <v>46042</v>
      </c>
    </row>
    <row r="9" customFormat="false" ht="15" hidden="false" customHeight="false" outlineLevel="0" collapsed="false">
      <c r="A9" s="0" t="s">
        <v>57</v>
      </c>
      <c r="E9" s="17" t="n">
        <v>46044</v>
      </c>
    </row>
    <row r="10" customFormat="false" ht="15" hidden="false" customHeight="false" outlineLevel="0" collapsed="false">
      <c r="A10" s="0" t="s">
        <v>60</v>
      </c>
      <c r="E10" s="17" t="n">
        <v>46047</v>
      </c>
    </row>
    <row r="11" customFormat="false" ht="15" hidden="false" customHeight="false" outlineLevel="0" collapsed="false">
      <c r="E11" s="17" t="n">
        <v>46049</v>
      </c>
    </row>
    <row r="12" customFormat="false" ht="15" hidden="false" customHeight="false" outlineLevel="0" collapsed="false">
      <c r="E12" s="17" t="n">
        <v>46055</v>
      </c>
    </row>
    <row r="13" customFormat="false" ht="15" hidden="false" customHeight="false" outlineLevel="0" collapsed="false">
      <c r="E13" s="17" t="n">
        <v>46057</v>
      </c>
    </row>
    <row r="14" customFormat="false" ht="15" hidden="false" customHeight="false" outlineLevel="0" collapsed="false">
      <c r="E14" s="17" t="n">
        <v>46060</v>
      </c>
    </row>
    <row r="15" customFormat="false" ht="15" hidden="false" customHeight="false" outlineLevel="0" collapsed="false">
      <c r="E15" s="17" t="n">
        <v>46063</v>
      </c>
    </row>
    <row r="16" customFormat="false" ht="15" hidden="false" customHeight="false" outlineLevel="0" collapsed="false">
      <c r="E16" s="17" t="n">
        <v>46066</v>
      </c>
    </row>
    <row r="17" customFormat="false" ht="15" hidden="false" customHeight="false" outlineLevel="0" collapsed="false">
      <c r="E17" s="17" t="n">
        <v>46069</v>
      </c>
    </row>
    <row r="18" customFormat="false" ht="15" hidden="false" customHeight="false" outlineLevel="0" collapsed="false">
      <c r="E18" s="17" t="n">
        <v>46073</v>
      </c>
    </row>
    <row r="19" customFormat="false" ht="15" hidden="false" customHeight="false" outlineLevel="0" collapsed="false">
      <c r="E19" s="17" t="n">
        <v>46076</v>
      </c>
    </row>
    <row r="20" customFormat="false" ht="15" hidden="false" customHeight="false" outlineLevel="0" collapsed="false">
      <c r="E20" s="17" t="n">
        <v>46078</v>
      </c>
    </row>
    <row r="21" customFormat="false" ht="15" hidden="false" customHeight="false" outlineLevel="0" collapsed="false">
      <c r="E21" s="17" t="n">
        <v>46081</v>
      </c>
    </row>
    <row r="22" customFormat="false" ht="15" hidden="false" customHeight="false" outlineLevel="0" collapsed="false">
      <c r="E22" s="17" t="n">
        <v>46084</v>
      </c>
    </row>
    <row r="23" customFormat="false" ht="15" hidden="false" customHeight="false" outlineLevel="0" collapsed="false">
      <c r="E23" s="17" t="n">
        <v>46087</v>
      </c>
    </row>
    <row r="24" customFormat="false" ht="15" hidden="false" customHeight="false" outlineLevel="0" collapsed="false">
      <c r="E24" s="17" t="n">
        <v>46090</v>
      </c>
    </row>
    <row r="25" customFormat="false" ht="15" hidden="false" customHeight="false" outlineLevel="0" collapsed="false">
      <c r="E25" s="17" t="n">
        <v>46093</v>
      </c>
    </row>
    <row r="26" customFormat="false" ht="15" hidden="false" customHeight="false" outlineLevel="0" collapsed="false">
      <c r="E26" s="17" t="n">
        <v>46096</v>
      </c>
    </row>
    <row r="27" customFormat="false" ht="15" hidden="false" customHeight="false" outlineLevel="0" collapsed="false">
      <c r="E27" s="17" t="n">
        <v>46099</v>
      </c>
    </row>
    <row r="28" customFormat="false" ht="15" hidden="false" customHeight="false" outlineLevel="0" collapsed="false">
      <c r="E28" s="17" t="n">
        <v>46102</v>
      </c>
    </row>
    <row r="29" customFormat="false" ht="15" hidden="false" customHeight="false" outlineLevel="0" collapsed="false">
      <c r="E29" s="17" t="n">
        <v>46105</v>
      </c>
    </row>
    <row r="30" customFormat="false" ht="15" hidden="false" customHeight="false" outlineLevel="0" collapsed="false">
      <c r="E30" s="17" t="n">
        <v>46108</v>
      </c>
    </row>
    <row r="31" customFormat="false" ht="15" hidden="false" customHeight="false" outlineLevel="0" collapsed="false">
      <c r="E31" s="17" t="n">
        <v>46111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2026-09-17T11:41:12Z</dcterms:created>
  <dc:creator>openpyxl</dc:creator>
  <dc:description/>
  <dc:language>en-US</dc:language>
  <cp:lastModifiedBy/>
  <dcterms:modified xsi:type="dcterms:W3CDTF">2026-09-17T11:41:12Z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